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patel\Desktop\Linkdin_Job_ANalysis\"/>
    </mc:Choice>
  </mc:AlternateContent>
  <xr:revisionPtr revIDLastSave="0" documentId="13_ncr:1_{1BCE4DC9-D422-47E2-8919-3CE4369B415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ject Schedule (Template View" sheetId="6" r:id="rId1"/>
    <sheet name="Owner Roles" sheetId="2" r:id="rId2"/>
    <sheet name="Updated Timeline (Aligned)" sheetId="3" r:id="rId3"/>
    <sheet name="Milestones (Aligned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E13" i="6"/>
  <c r="E10" i="6"/>
  <c r="E20" i="6"/>
  <c r="E9" i="6" s="1"/>
  <c r="E19" i="6"/>
  <c r="E18" i="6"/>
  <c r="E17" i="6"/>
  <c r="E16" i="6"/>
  <c r="E15" i="6"/>
  <c r="E14" i="6"/>
  <c r="E12" i="6"/>
  <c r="E11" i="6"/>
</calcChain>
</file>

<file path=xl/sharedStrings.xml><?xml version="1.0" encoding="utf-8"?>
<sst xmlns="http://schemas.openxmlformats.org/spreadsheetml/2006/main" count="158" uniqueCount="121">
  <si>
    <t>PROJECT SCHEDULE TEMPLATE</t>
  </si>
  <si>
    <t>PROJECT NAME</t>
  </si>
  <si>
    <t>PROJECT MANAGER</t>
  </si>
  <si>
    <t>PROJECT DELIVERABLE</t>
  </si>
  <si>
    <t>SCOPE STATEMENT</t>
  </si>
  <si>
    <t>START DATE</t>
  </si>
  <si>
    <t>END DATE</t>
  </si>
  <si>
    <t>OVERALL PROGRESS</t>
  </si>
  <si>
    <t>TASK NAME</t>
  </si>
  <si>
    <t>ASSIGNED TO</t>
  </si>
  <si>
    <t>DURATION (in days)</t>
  </si>
  <si>
    <t>STATUS</t>
  </si>
  <si>
    <t>COMMENTS</t>
  </si>
  <si>
    <t>Name</t>
  </si>
  <si>
    <t>Role</t>
  </si>
  <si>
    <t>Primary Responsibilities</t>
  </si>
  <si>
    <t>Rachit Patel</t>
  </si>
  <si>
    <t>Software Engineer</t>
  </si>
  <si>
    <t>Dheeraj Royal Galla</t>
  </si>
  <si>
    <t>Data Analyst</t>
  </si>
  <si>
    <t>EDA, insights, dashboards (Matplotlib/Seaborn/Plotly), trends by region/skill</t>
  </si>
  <si>
    <t>Sanjeet Srinivasa</t>
  </si>
  <si>
    <t>ML Engineer (NLP)</t>
  </si>
  <si>
    <t>spaCy/BERT pipelines, classification, skill extraction, evaluation</t>
  </si>
  <si>
    <t>Mohammed Abdul-Ameer</t>
  </si>
  <si>
    <t>Data Engineer</t>
  </si>
  <si>
    <t>Data quality, ETL/standardization, schema &amp; SQL integration, backend data services</t>
  </si>
  <si>
    <t>Week</t>
  </si>
  <si>
    <t>Dates</t>
  </si>
  <si>
    <t>Focus Area</t>
  </si>
  <si>
    <t>Tasks / Deliverables</t>
  </si>
  <si>
    <t>Owner(s)</t>
  </si>
  <si>
    <t>Status</t>
  </si>
  <si>
    <t>Due Date</t>
  </si>
  <si>
    <t>Dependencies</t>
  </si>
  <si>
    <t>Week 9</t>
  </si>
  <si>
    <t>Nov 10 – Nov 16, 2025</t>
  </si>
  <si>
    <t>Baselines + Schema/SQL integration</t>
  </si>
  <si>
    <t>Finalize cleaning &amp; tokenization; design ER schema (Job/Skill/Company); SQL tables &amp; load; TF‑IDF+LR baseline; metrics logged; GitHub push.</t>
  </si>
  <si>
    <t>Mohammed (Data Engr), Sanjeet (ML)</t>
  </si>
  <si>
    <t>Planned</t>
  </si>
  <si>
    <t>2025-11-16</t>
  </si>
  <si>
    <t>Dataset cleaned; initial EDA</t>
  </si>
  <si>
    <t>Week 10</t>
  </si>
  <si>
    <t>Nov 17 – Nov 23, 2025</t>
  </si>
  <si>
    <t>Transformer fine‑tuning (BERT) + Skill extraction</t>
  </si>
  <si>
    <t>Fine‑tune BERT for role classification; skill extraction (spaCy patterns/OvR); compare vs baseline; checkpoints &amp; eval scripts; update data dictionary.</t>
  </si>
  <si>
    <t>Sanjeet (ML), Mohammed (Data Engr)</t>
  </si>
  <si>
    <t>2025-11-23</t>
  </si>
  <si>
    <t>Week 9 baseline &amp; SQL schema</t>
  </si>
  <si>
    <t>Week 11</t>
  </si>
  <si>
    <t>Nov 24 – Nov 30, 2025</t>
  </si>
  <si>
    <t>API &amp; Prototype</t>
  </si>
  <si>
    <t>Rachit (SW), Dheeraj (Data Viz)</t>
  </si>
  <si>
    <t>2025-11-30</t>
  </si>
  <si>
    <t>Best model from Week 10; SQL access</t>
  </si>
  <si>
    <t>Week 12</t>
  </si>
  <si>
    <t>Dec 1 – Dec 7, 2025</t>
  </si>
  <si>
    <t>Testing, performance &amp; polish</t>
  </si>
  <si>
    <t>Unit &amp; API tests; latency/perf tuning; error handling; refine dashboards; freeze figures &amp; tables; readiness checklist.</t>
  </si>
  <si>
    <t>Rachit (SW), Dheeraj (Viz), Mohammed (Data Engr)</t>
  </si>
  <si>
    <t>2025-12-07</t>
  </si>
  <si>
    <t>API + prototype + dashboards</t>
  </si>
  <si>
    <t>Week 13</t>
  </si>
  <si>
    <t>Dec 8 – Dec 14, 2025</t>
  </si>
  <si>
    <t>Final report &amp; submission</t>
  </si>
  <si>
    <t>Overleaf report; slides &amp; demo video; final GitHub push (scripts, schema, notebooks); Canvas submission.</t>
  </si>
  <si>
    <t>All</t>
  </si>
  <si>
    <t>2025-12-14</t>
  </si>
  <si>
    <t>All prior milestones complete</t>
  </si>
  <si>
    <t>Milestone</t>
  </si>
  <si>
    <t>Target Date</t>
  </si>
  <si>
    <t>Acceptance Criteria</t>
  </si>
  <si>
    <t>ER Schema + SQL integration complete</t>
  </si>
  <si>
    <t>Mohammed</t>
  </si>
  <si>
    <t>Tables created &amp; populated; diagram exported; queries validate rows</t>
  </si>
  <si>
    <t>Baseline TF‑IDF+LR ready</t>
  </si>
  <si>
    <t>Sanjeet</t>
  </si>
  <si>
    <t>Macro‑F1 reported on 10k; artifacts &amp; logs in GitHub</t>
  </si>
  <si>
    <t>BERT fine‑tuned + skill extraction</t>
  </si>
  <si>
    <t>BERT &gt; baseline; precision/recall for skills</t>
  </si>
  <si>
    <t>API + Prototype (FastAPI + Streamlit)</t>
  </si>
  <si>
    <t>Rachit, Dheeraj</t>
  </si>
  <si>
    <t>JSON output from endpoint; dashboard views live</t>
  </si>
  <si>
    <t>Tested pipeline &amp; refined visuals</t>
  </si>
  <si>
    <t>Rachit, Dheeraj, Mohammed</t>
  </si>
  <si>
    <t>Unit/API tests pass; latency target; figures finalized</t>
  </si>
  <si>
    <t>Final Overleaf PDF + Slides + Canvas</t>
  </si>
  <si>
    <t>PDF, slides, video; GitHub updated; Canvas submitted</t>
  </si>
  <si>
    <t>Job Description Intelligence and Market Insights (2023–2024)</t>
  </si>
  <si>
    <t>Team 19 (Rachit, Dheeraj, Sanjeet, Mohammed)</t>
  </si>
  <si>
    <t>NLP extraction + dashboards + API prototype + final report</t>
  </si>
  <si>
    <t>Extract structured info from job posts; analyze trends by region/skill; integrate SQL &amp; dashboards</t>
  </si>
  <si>
    <t>TF-IDF + Logistic Regression Baseline</t>
  </si>
  <si>
    <t>Accuracy &amp; macro-F1 on 10k subset; logs &amp; artifacts in GitHub</t>
  </si>
  <si>
    <t>Skill Extraction (spaCy patterns / OvR)</t>
  </si>
  <si>
    <t>Precision/recall reported for skills</t>
  </si>
  <si>
    <t>FastAPI Inference Endpoint</t>
  </si>
  <si>
    <t>Endpoint returns structured JSON</t>
  </si>
  <si>
    <t>Top skills, locations &amp; salary distributions</t>
  </si>
  <si>
    <t>Unit &amp; API Testing + Perf Tuning</t>
  </si>
  <si>
    <t>Rachit Patel; Mohammed Abdul-Ameer</t>
  </si>
  <si>
    <t>Latency target &amp; error handling; unit/API tests green</t>
  </si>
  <si>
    <t>Dashboard Refinement &amp; Final Figures</t>
  </si>
  <si>
    <t>Final visuals ready for report</t>
  </si>
  <si>
    <t>Overleaf Final Report (methods/results/limits)</t>
  </si>
  <si>
    <t>PDF export; citations &amp; appendix</t>
  </si>
  <si>
    <t>Slides &amp; Demo Video</t>
  </si>
  <si>
    <t>5–8 slides; short demo video</t>
  </si>
  <si>
    <t>Final GitHub Push &amp; Canvas Submission</t>
  </si>
  <si>
    <t>Repo up to date; Canvas submitted</t>
  </si>
  <si>
    <t>Clean and preprocess job data</t>
  </si>
  <si>
    <t xml:space="preserve">Scrape or collect LinkedIn job postings data </t>
  </si>
  <si>
    <t>Data cleaned &amp; preprocessed using PySpark</t>
  </si>
  <si>
    <t>LinkedIn job data scraped &amp; collected</t>
  </si>
  <si>
    <t xml:space="preserve">Create frontend application </t>
  </si>
  <si>
    <t>User inputs processed; entities highlighted; insights generated successfully</t>
  </si>
  <si>
    <t>Complete</t>
  </si>
  <si>
    <t>System integration, API development (FastAPI), React Frontend UI Development, CI/testing</t>
  </si>
  <si>
    <t>FastAPI endpoint for inference; React Frontend UI; Plotly dashboards (skills, salary, hotspots); demo dataset.</t>
  </si>
  <si>
    <t>Dashboard (skills/region/salary)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</si>
</sst>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9" fontId="0" fillId="3" borderId="2" xfId="0" applyNumberFormat="1" applyFill="1" applyBorder="1"/>
    <xf numFmtId="0" fontId="1" fillId="4" borderId="2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0" fillId="3" borderId="2" xfId="0" applyFill="1" applyBorder="1"/>
    <xf numFmtId="0" fontId="3" fillId="0" borderId="0" xfId="1"/>
    <xf numFmtId="0" fontId="2" fillId="2" borderId="2" xfId="0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D393EE01-7C04-4D18-851A-81EBB6D3F5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tabSelected="1" zoomScaleNormal="100" workbookViewId="0">
      <pane ySplit="8" topLeftCell="A9" activePane="bottomLeft" state="frozen"/>
      <selection pane="bottomLeft" activeCell="B6" sqref="B6"/>
    </sheetView>
  </sheetViews>
  <sheetFormatPr defaultRowHeight="14.4" x14ac:dyDescent="0.55000000000000004"/>
  <cols>
    <col min="1" max="1" width="40.41796875" bestFit="1" customWidth="1"/>
    <col min="2" max="2" width="81.1015625" bestFit="1" customWidth="1"/>
    <col min="3" max="3" width="11.20703125" bestFit="1" customWidth="1"/>
    <col min="4" max="4" width="10.3125" bestFit="1" customWidth="1"/>
    <col min="5" max="5" width="18.20703125" bestFit="1" customWidth="1"/>
    <col min="6" max="6" width="10.41796875" bestFit="1" customWidth="1"/>
    <col min="7" max="7" width="52.1015625" bestFit="1" customWidth="1"/>
  </cols>
  <sheetData>
    <row r="1" spans="1:7" ht="18.3" x14ac:dyDescent="0.7">
      <c r="A1" s="10" t="s">
        <v>0</v>
      </c>
      <c r="B1" s="11"/>
      <c r="C1" s="11"/>
      <c r="D1" s="11"/>
      <c r="E1" s="11"/>
      <c r="F1" s="11"/>
      <c r="G1" s="11"/>
    </row>
    <row r="3" spans="1:7" x14ac:dyDescent="0.55000000000000004">
      <c r="A3" s="2" t="s">
        <v>1</v>
      </c>
      <c r="B3" t="s">
        <v>89</v>
      </c>
    </row>
    <row r="4" spans="1:7" x14ac:dyDescent="0.55000000000000004">
      <c r="A4" s="2" t="s">
        <v>2</v>
      </c>
      <c r="B4" t="s">
        <v>90</v>
      </c>
    </row>
    <row r="5" spans="1:7" x14ac:dyDescent="0.55000000000000004">
      <c r="A5" s="2" t="s">
        <v>3</v>
      </c>
      <c r="B5" t="s">
        <v>91</v>
      </c>
    </row>
    <row r="6" spans="1:7" x14ac:dyDescent="0.55000000000000004">
      <c r="A6" s="2" t="s">
        <v>4</v>
      </c>
      <c r="B6" t="s">
        <v>92</v>
      </c>
    </row>
    <row r="7" spans="1:7" x14ac:dyDescent="0.55000000000000004">
      <c r="A7" s="2" t="s">
        <v>5</v>
      </c>
      <c r="B7" s="3">
        <v>45971</v>
      </c>
      <c r="C7" s="2" t="s">
        <v>6</v>
      </c>
      <c r="D7" s="3">
        <v>45999</v>
      </c>
      <c r="E7" s="2" t="s">
        <v>7</v>
      </c>
      <c r="F7" s="4">
        <f>IFERROR(COUNTIF(F9:F101,"Complete")/COUNTA(A9:A101),0)</f>
        <v>1</v>
      </c>
    </row>
    <row r="8" spans="1:7" x14ac:dyDescent="0.55000000000000004">
      <c r="A8" s="5" t="s">
        <v>8</v>
      </c>
      <c r="B8" s="5" t="s">
        <v>9</v>
      </c>
      <c r="C8" s="5" t="s">
        <v>5</v>
      </c>
      <c r="D8" s="5" t="s">
        <v>6</v>
      </c>
      <c r="E8" s="5" t="s">
        <v>10</v>
      </c>
      <c r="F8" s="5" t="s">
        <v>11</v>
      </c>
      <c r="G8" s="5" t="s">
        <v>12</v>
      </c>
    </row>
    <row r="9" spans="1:7" x14ac:dyDescent="0.55000000000000004">
      <c r="A9" s="9" t="s">
        <v>112</v>
      </c>
      <c r="B9" s="6" t="s">
        <v>24</v>
      </c>
      <c r="C9" s="7">
        <v>45971</v>
      </c>
      <c r="D9" s="7">
        <v>45973</v>
      </c>
      <c r="E9" s="6">
        <f>IF(AND(D9&lt;&gt;"",C9&lt;E20&gt;""),D9-C9+1,"")</f>
        <v>3</v>
      </c>
      <c r="F9" s="8" t="s">
        <v>117</v>
      </c>
      <c r="G9" s="6" t="s">
        <v>114</v>
      </c>
    </row>
    <row r="10" spans="1:7" x14ac:dyDescent="0.55000000000000004">
      <c r="A10" s="9" t="s">
        <v>111</v>
      </c>
      <c r="B10" s="6" t="s">
        <v>24</v>
      </c>
      <c r="C10" s="7">
        <v>45974</v>
      </c>
      <c r="D10" s="7">
        <v>45977</v>
      </c>
      <c r="E10" s="6">
        <f>IF(AND(D10&lt;&gt;"",C10&lt;E21&gt;""),D10-C10+1,"")</f>
        <v>4</v>
      </c>
      <c r="F10" s="8" t="s">
        <v>117</v>
      </c>
      <c r="G10" s="6" t="s">
        <v>113</v>
      </c>
    </row>
    <row r="11" spans="1:7" x14ac:dyDescent="0.55000000000000004">
      <c r="A11" s="6" t="s">
        <v>93</v>
      </c>
      <c r="B11" s="6" t="s">
        <v>21</v>
      </c>
      <c r="C11" s="7">
        <v>45971</v>
      </c>
      <c r="D11" s="7">
        <v>45977</v>
      </c>
      <c r="E11" s="6">
        <f t="shared" ref="E11:E20" si="0">IF(AND(D11&lt;&gt;"",C11&lt;&gt;""),D11-C11+1,"")</f>
        <v>7</v>
      </c>
      <c r="F11" s="8" t="s">
        <v>117</v>
      </c>
      <c r="G11" s="6" t="s">
        <v>94</v>
      </c>
    </row>
    <row r="12" spans="1:7" x14ac:dyDescent="0.55000000000000004">
      <c r="A12" s="6" t="s">
        <v>95</v>
      </c>
      <c r="B12" s="6" t="s">
        <v>21</v>
      </c>
      <c r="C12" s="7">
        <v>45978</v>
      </c>
      <c r="D12" s="7">
        <v>45984</v>
      </c>
      <c r="E12" s="6">
        <f t="shared" si="0"/>
        <v>7</v>
      </c>
      <c r="F12" s="8" t="s">
        <v>117</v>
      </c>
      <c r="G12" s="6" t="s">
        <v>96</v>
      </c>
    </row>
    <row r="13" spans="1:7" x14ac:dyDescent="0.55000000000000004">
      <c r="A13" s="6" t="s">
        <v>115</v>
      </c>
      <c r="B13" s="6" t="s">
        <v>16</v>
      </c>
      <c r="C13" s="7">
        <v>45981</v>
      </c>
      <c r="D13" s="7">
        <v>45984</v>
      </c>
      <c r="E13" s="6">
        <f t="shared" si="0"/>
        <v>4</v>
      </c>
      <c r="F13" s="8" t="s">
        <v>117</v>
      </c>
      <c r="G13" s="6" t="s">
        <v>116</v>
      </c>
    </row>
    <row r="14" spans="1:7" x14ac:dyDescent="0.55000000000000004">
      <c r="A14" s="6" t="s">
        <v>97</v>
      </c>
      <c r="B14" s="6" t="s">
        <v>16</v>
      </c>
      <c r="C14" s="7">
        <v>45985</v>
      </c>
      <c r="D14" s="7">
        <v>45988</v>
      </c>
      <c r="E14" s="6">
        <f t="shared" si="0"/>
        <v>4</v>
      </c>
      <c r="F14" s="8" t="s">
        <v>117</v>
      </c>
      <c r="G14" s="6" t="s">
        <v>98</v>
      </c>
    </row>
    <row r="15" spans="1:7" x14ac:dyDescent="0.55000000000000004">
      <c r="A15" s="6" t="s">
        <v>120</v>
      </c>
      <c r="B15" s="6" t="s">
        <v>18</v>
      </c>
      <c r="C15" s="7">
        <v>45985</v>
      </c>
      <c r="D15" s="7">
        <v>45991</v>
      </c>
      <c r="E15" s="6">
        <f t="shared" si="0"/>
        <v>7</v>
      </c>
      <c r="F15" s="8" t="s">
        <v>117</v>
      </c>
      <c r="G15" s="6" t="s">
        <v>99</v>
      </c>
    </row>
    <row r="16" spans="1:7" x14ac:dyDescent="0.55000000000000004">
      <c r="A16" s="6" t="s">
        <v>100</v>
      </c>
      <c r="B16" s="6" t="s">
        <v>101</v>
      </c>
      <c r="C16" s="7">
        <v>45992</v>
      </c>
      <c r="D16" s="7">
        <v>45996</v>
      </c>
      <c r="E16" s="6">
        <f t="shared" si="0"/>
        <v>5</v>
      </c>
      <c r="F16" s="8" t="s">
        <v>117</v>
      </c>
      <c r="G16" s="6" t="s">
        <v>102</v>
      </c>
    </row>
    <row r="17" spans="1:7" x14ac:dyDescent="0.55000000000000004">
      <c r="A17" s="6" t="s">
        <v>103</v>
      </c>
      <c r="B17" s="6" t="s">
        <v>18</v>
      </c>
      <c r="C17" s="7">
        <v>45992</v>
      </c>
      <c r="D17" s="7">
        <v>45998</v>
      </c>
      <c r="E17" s="6">
        <f t="shared" si="0"/>
        <v>7</v>
      </c>
      <c r="F17" s="8" t="s">
        <v>117</v>
      </c>
      <c r="G17" s="6" t="s">
        <v>104</v>
      </c>
    </row>
    <row r="18" spans="1:7" x14ac:dyDescent="0.55000000000000004">
      <c r="A18" s="6" t="s">
        <v>105</v>
      </c>
      <c r="B18" s="6" t="s">
        <v>67</v>
      </c>
      <c r="C18" s="7">
        <v>45999</v>
      </c>
      <c r="D18" s="7">
        <v>45999</v>
      </c>
      <c r="E18" s="6">
        <f t="shared" si="0"/>
        <v>1</v>
      </c>
      <c r="F18" s="8" t="s">
        <v>117</v>
      </c>
      <c r="G18" s="6" t="s">
        <v>106</v>
      </c>
    </row>
    <row r="19" spans="1:7" x14ac:dyDescent="0.55000000000000004">
      <c r="A19" s="6" t="s">
        <v>107</v>
      </c>
      <c r="B19" s="6" t="s">
        <v>67</v>
      </c>
      <c r="C19" s="7">
        <v>45999</v>
      </c>
      <c r="D19" s="7">
        <v>45999</v>
      </c>
      <c r="E19" s="6">
        <f t="shared" si="0"/>
        <v>1</v>
      </c>
      <c r="F19" s="8" t="s">
        <v>117</v>
      </c>
      <c r="G19" s="6" t="s">
        <v>108</v>
      </c>
    </row>
    <row r="20" spans="1:7" x14ac:dyDescent="0.55000000000000004">
      <c r="A20" s="6" t="s">
        <v>109</v>
      </c>
      <c r="B20" s="6" t="s">
        <v>67</v>
      </c>
      <c r="C20" s="7">
        <v>45999</v>
      </c>
      <c r="D20" s="7">
        <v>45999</v>
      </c>
      <c r="E20" s="6">
        <f t="shared" si="0"/>
        <v>1</v>
      </c>
      <c r="F20" s="8" t="s">
        <v>117</v>
      </c>
      <c r="G20" s="6" t="s">
        <v>110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>
      <selection activeCell="C5" sqref="C5"/>
    </sheetView>
  </sheetViews>
  <sheetFormatPr defaultRowHeight="14.4" x14ac:dyDescent="0.55000000000000004"/>
  <cols>
    <col min="1" max="1" width="22.20703125" bestFit="1" customWidth="1"/>
    <col min="2" max="2" width="16" bestFit="1" customWidth="1"/>
    <col min="3" max="3" width="69.89453125" bestFit="1" customWidth="1"/>
  </cols>
  <sheetData>
    <row r="1" spans="1:3" x14ac:dyDescent="0.55000000000000004">
      <c r="A1" s="1" t="s">
        <v>13</v>
      </c>
      <c r="B1" s="1" t="s">
        <v>14</v>
      </c>
      <c r="C1" s="1" t="s">
        <v>15</v>
      </c>
    </row>
    <row r="2" spans="1:3" x14ac:dyDescent="0.55000000000000004">
      <c r="A2" t="s">
        <v>16</v>
      </c>
      <c r="B2" t="s">
        <v>17</v>
      </c>
      <c r="C2" t="s">
        <v>118</v>
      </c>
    </row>
    <row r="3" spans="1:3" x14ac:dyDescent="0.55000000000000004">
      <c r="A3" t="s">
        <v>18</v>
      </c>
      <c r="B3" t="s">
        <v>19</v>
      </c>
      <c r="C3" t="s">
        <v>20</v>
      </c>
    </row>
    <row r="4" spans="1:3" x14ac:dyDescent="0.55000000000000004">
      <c r="A4" t="s">
        <v>21</v>
      </c>
      <c r="B4" t="s">
        <v>22</v>
      </c>
      <c r="C4" t="s">
        <v>23</v>
      </c>
    </row>
    <row r="5" spans="1:3" x14ac:dyDescent="0.55000000000000004">
      <c r="A5" t="s">
        <v>24</v>
      </c>
      <c r="B5" t="s">
        <v>25</v>
      </c>
      <c r="C5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D11" sqref="D11"/>
    </sheetView>
  </sheetViews>
  <sheetFormatPr defaultRowHeight="14.4" x14ac:dyDescent="0.55000000000000004"/>
  <cols>
    <col min="1" max="1" width="8.1015625" bestFit="1" customWidth="1"/>
    <col min="2" max="2" width="19.5234375" bestFit="1" customWidth="1"/>
    <col min="3" max="3" width="40.68359375" bestFit="1" customWidth="1"/>
    <col min="4" max="4" width="123.5234375" bestFit="1" customWidth="1"/>
    <col min="5" max="5" width="42.5234375" bestFit="1" customWidth="1"/>
    <col min="6" max="6" width="7.41796875" bestFit="1" customWidth="1"/>
    <col min="7" max="7" width="10.3125" bestFit="1" customWidth="1"/>
    <col min="8" max="8" width="32.5234375" bestFit="1" customWidth="1"/>
  </cols>
  <sheetData>
    <row r="1" spans="1:8" x14ac:dyDescent="0.55000000000000004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55000000000000004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 x14ac:dyDescent="0.55000000000000004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40</v>
      </c>
      <c r="G3" t="s">
        <v>48</v>
      </c>
      <c r="H3" t="s">
        <v>49</v>
      </c>
    </row>
    <row r="4" spans="1:8" x14ac:dyDescent="0.55000000000000004">
      <c r="A4" t="s">
        <v>50</v>
      </c>
      <c r="B4" t="s">
        <v>51</v>
      </c>
      <c r="C4" t="s">
        <v>52</v>
      </c>
      <c r="D4" t="s">
        <v>119</v>
      </c>
      <c r="E4" t="s">
        <v>53</v>
      </c>
      <c r="F4" t="s">
        <v>40</v>
      </c>
      <c r="G4" t="s">
        <v>54</v>
      </c>
      <c r="H4" t="s">
        <v>55</v>
      </c>
    </row>
    <row r="5" spans="1:8" x14ac:dyDescent="0.55000000000000004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40</v>
      </c>
      <c r="G5" t="s">
        <v>61</v>
      </c>
      <c r="H5" t="s">
        <v>62</v>
      </c>
    </row>
    <row r="6" spans="1:8" x14ac:dyDescent="0.55000000000000004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40</v>
      </c>
      <c r="G6" t="s">
        <v>68</v>
      </c>
      <c r="H6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D14" sqref="D14"/>
    </sheetView>
  </sheetViews>
  <sheetFormatPr defaultRowHeight="14.4" x14ac:dyDescent="0.55000000000000004"/>
  <cols>
    <col min="1" max="1" width="32.89453125" bestFit="1" customWidth="1"/>
    <col min="2" max="2" width="10.68359375" bestFit="1" customWidth="1"/>
    <col min="3" max="3" width="24.41796875" bestFit="1" customWidth="1"/>
    <col min="4" max="4" width="58.1015625" bestFit="1" customWidth="1"/>
  </cols>
  <sheetData>
    <row r="1" spans="1:4" x14ac:dyDescent="0.55000000000000004">
      <c r="A1" s="1" t="s">
        <v>70</v>
      </c>
      <c r="B1" s="1" t="s">
        <v>71</v>
      </c>
      <c r="C1" s="1" t="s">
        <v>31</v>
      </c>
      <c r="D1" s="1" t="s">
        <v>72</v>
      </c>
    </row>
    <row r="2" spans="1:4" x14ac:dyDescent="0.55000000000000004">
      <c r="A2" t="s">
        <v>73</v>
      </c>
      <c r="B2" t="s">
        <v>41</v>
      </c>
      <c r="C2" t="s">
        <v>74</v>
      </c>
      <c r="D2" t="s">
        <v>75</v>
      </c>
    </row>
    <row r="3" spans="1:4" x14ac:dyDescent="0.55000000000000004">
      <c r="A3" t="s">
        <v>76</v>
      </c>
      <c r="B3" t="s">
        <v>41</v>
      </c>
      <c r="C3" t="s">
        <v>77</v>
      </c>
      <c r="D3" t="s">
        <v>78</v>
      </c>
    </row>
    <row r="4" spans="1:4" x14ac:dyDescent="0.55000000000000004">
      <c r="A4" t="s">
        <v>79</v>
      </c>
      <c r="B4" t="s">
        <v>48</v>
      </c>
      <c r="C4" t="s">
        <v>77</v>
      </c>
      <c r="D4" t="s">
        <v>80</v>
      </c>
    </row>
    <row r="5" spans="1:4" x14ac:dyDescent="0.55000000000000004">
      <c r="A5" t="s">
        <v>81</v>
      </c>
      <c r="B5" t="s">
        <v>54</v>
      </c>
      <c r="C5" t="s">
        <v>82</v>
      </c>
      <c r="D5" t="s">
        <v>83</v>
      </c>
    </row>
    <row r="6" spans="1:4" x14ac:dyDescent="0.55000000000000004">
      <c r="A6" t="s">
        <v>84</v>
      </c>
      <c r="B6" t="s">
        <v>61</v>
      </c>
      <c r="C6" t="s">
        <v>85</v>
      </c>
      <c r="D6" t="s">
        <v>86</v>
      </c>
    </row>
    <row r="7" spans="1:4" x14ac:dyDescent="0.55000000000000004">
      <c r="A7" t="s">
        <v>87</v>
      </c>
      <c r="B7" t="s">
        <v>68</v>
      </c>
      <c r="C7" t="s">
        <v>67</v>
      </c>
      <c r="D7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Schedule (Template View</vt:lpstr>
      <vt:lpstr>Owner Roles</vt:lpstr>
      <vt:lpstr>Updated Timeline (Aligned)</vt:lpstr>
      <vt:lpstr>Milestones (Aligned)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Jahnavi Patel</cp:lastModifiedBy>
  <dcterms:created xsi:type="dcterms:W3CDTF">2025-11-10T19:55:24Z</dcterms:created>
  <dcterms:modified xsi:type="dcterms:W3CDTF">2025-12-09T01:36:37Z</dcterms:modified>
</cp:coreProperties>
</file>